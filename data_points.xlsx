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ity\Documents\FinanceScripts\"/>
    </mc:Choice>
  </mc:AlternateContent>
  <xr:revisionPtr revIDLastSave="0" documentId="13_ncr:1_{E564E361-7741-4C25-99FF-2E96C7FC4FD4}" xr6:coauthVersionLast="47" xr6:coauthVersionMax="47" xr10:uidLastSave="{00000000-0000-0000-0000-000000000000}"/>
  <bookViews>
    <workbookView xWindow="1480" yWindow="1480" windowWidth="14400" windowHeight="8170" xr2:uid="{D95E17AF-2937-43A8-A520-D0198BF2950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O2" i="1" l="1"/>
  <c r="K6" i="1"/>
  <c r="F8" i="1"/>
  <c r="E8" i="1"/>
  <c r="D8" i="1"/>
  <c r="C8" i="1"/>
</calcChain>
</file>

<file path=xl/sharedStrings.xml><?xml version="1.0" encoding="utf-8"?>
<sst xmlns="http://schemas.openxmlformats.org/spreadsheetml/2006/main" count="29" uniqueCount="26">
  <si>
    <t>beta</t>
  </si>
  <si>
    <t>mrkt</t>
  </si>
  <si>
    <t>smb</t>
  </si>
  <si>
    <t>hml</t>
  </si>
  <si>
    <t>small low bm</t>
  </si>
  <si>
    <t>small high bm</t>
  </si>
  <si>
    <t>big low bm</t>
  </si>
  <si>
    <t>big high bm</t>
  </si>
  <si>
    <t>ME1 BM2</t>
  </si>
  <si>
    <t>ME2 BM2</t>
  </si>
  <si>
    <t>RF</t>
  </si>
  <si>
    <t>BN</t>
  </si>
  <si>
    <t>Betas</t>
  </si>
  <si>
    <t>SMB</t>
  </si>
  <si>
    <t>HML</t>
  </si>
  <si>
    <t>WML</t>
  </si>
  <si>
    <t>MF</t>
  </si>
  <si>
    <t>BG</t>
  </si>
  <si>
    <t>SV</t>
  </si>
  <si>
    <t>SN</t>
  </si>
  <si>
    <t>SG</t>
  </si>
  <si>
    <t>MRKT</t>
  </si>
  <si>
    <t>monthly average usa</t>
  </si>
  <si>
    <t>monthly average india</t>
  </si>
  <si>
    <t>n/a</t>
  </si>
  <si>
    <t>BV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</si>
</sst>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FFFFFF"/>
      </a:dk1>
      <a:lt1>
        <a:sysClr val="window" lastClr="000000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E520-2F13-45C9-B085-DA423F3703EB}">
  <dimension ref="A1:O8"/>
  <sheetViews>
    <sheetView tabSelected="1" topLeftCell="G1" workbookViewId="0">
      <selection activeCell="N5" sqref="N5"/>
    </sheetView>
  </sheetViews>
  <sheetFormatPr defaultRowHeight="14.5" x14ac:dyDescent="0.35"/>
  <sheetData>
    <row r="1" spans="1:15" x14ac:dyDescent="0.35">
      <c r="A1" t="s">
        <v>0</v>
      </c>
      <c r="B1" t="s">
        <v>4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I1" t="s">
        <v>12</v>
      </c>
      <c r="J1" t="s">
        <v>11</v>
      </c>
      <c r="K1" t="s">
        <v>17</v>
      </c>
      <c r="L1" t="s">
        <v>18</v>
      </c>
      <c r="M1" t="s">
        <v>19</v>
      </c>
      <c r="N1" t="s">
        <v>20</v>
      </c>
      <c r="O1" t="s">
        <v>25</v>
      </c>
    </row>
    <row r="2" spans="1:15" x14ac:dyDescent="0.35">
      <c r="A2" t="s">
        <v>1</v>
      </c>
      <c r="B2">
        <v>1.077243333654136</v>
      </c>
      <c r="C2">
        <v>1.0214547118921464</v>
      </c>
      <c r="D2">
        <v>1.025224091030277</v>
      </c>
      <c r="E2">
        <v>1.0810525001211473</v>
      </c>
      <c r="F2">
        <v>0.9867161193550158</v>
      </c>
      <c r="G2">
        <v>0.97914132067963255</v>
      </c>
      <c r="I2" t="s">
        <v>16</v>
      </c>
      <c r="J2">
        <v>1.043066115022421</v>
      </c>
      <c r="K2">
        <v>0.99698563451359001</v>
      </c>
      <c r="L2">
        <v>1.0244152350672711</v>
      </c>
      <c r="M2">
        <v>0.96897617462539998</v>
      </c>
      <c r="N2">
        <v>0.97823109527313568</v>
      </c>
      <c r="O2">
        <f>J2</f>
        <v>1.043066115022421</v>
      </c>
    </row>
    <row r="3" spans="1:15" x14ac:dyDescent="0.35">
      <c r="A3" t="s">
        <v>2</v>
      </c>
      <c r="B3">
        <v>1.053869489128348</v>
      </c>
      <c r="C3">
        <v>0.9316552394123736</v>
      </c>
      <c r="D3">
        <v>-9.5509606874787129E-2</v>
      </c>
      <c r="E3">
        <v>2.6703412185164907E-2</v>
      </c>
      <c r="F3">
        <v>0.82927020209667035</v>
      </c>
      <c r="G3">
        <v>-0.11632633961996725</v>
      </c>
      <c r="I3" t="s">
        <v>13</v>
      </c>
      <c r="J3">
        <v>-0.31752305991059648</v>
      </c>
      <c r="K3">
        <v>-6.3144455221245954E-2</v>
      </c>
      <c r="L3">
        <v>0.92697880503931396</v>
      </c>
      <c r="M3">
        <v>0.74323447935393627</v>
      </c>
      <c r="N3">
        <v>0.66730626610736521</v>
      </c>
      <c r="O3">
        <v>0</v>
      </c>
    </row>
    <row r="4" spans="1:15" ht="15" thickBot="1" x14ac:dyDescent="0.4">
      <c r="A4" t="s">
        <v>3</v>
      </c>
      <c r="B4" s="1">
        <v>-0.18831357533322754</v>
      </c>
      <c r="C4" s="1">
        <v>0.78706634121040309</v>
      </c>
      <c r="D4" s="1">
        <v>-0.22760020038447967</v>
      </c>
      <c r="E4" s="1">
        <v>0.79698652998107145</v>
      </c>
      <c r="F4" s="1">
        <v>0.29716710579770206</v>
      </c>
      <c r="G4" s="1">
        <v>0.3264982799879752</v>
      </c>
      <c r="I4" t="s">
        <v>14</v>
      </c>
      <c r="J4">
        <v>0.28728652942653871</v>
      </c>
      <c r="K4">
        <v>-0.12550648703223991</v>
      </c>
      <c r="L4">
        <v>0.83342097517110747</v>
      </c>
      <c r="M4">
        <v>0.39859226511752222</v>
      </c>
      <c r="N4">
        <v>8.539423101181072E-2</v>
      </c>
      <c r="O4">
        <v>0</v>
      </c>
    </row>
    <row r="5" spans="1:15" x14ac:dyDescent="0.35">
      <c r="B5" t="s">
        <v>10</v>
      </c>
      <c r="C5" t="s">
        <v>21</v>
      </c>
      <c r="D5" t="s">
        <v>13</v>
      </c>
      <c r="E5" t="s">
        <v>14</v>
      </c>
      <c r="F5" t="s">
        <v>15</v>
      </c>
      <c r="I5" t="s">
        <v>15</v>
      </c>
      <c r="J5">
        <v>-0.14167318366096421</v>
      </c>
      <c r="K5">
        <v>2.083988021360398E-2</v>
      </c>
      <c r="L5">
        <v>-1.948231193175106E-2</v>
      </c>
      <c r="M5">
        <v>-0.10176831818572921</v>
      </c>
      <c r="N5">
        <v>-8.3006763443022616E-2</v>
      </c>
      <c r="O5">
        <v>0</v>
      </c>
    </row>
    <row r="6" spans="1:15" x14ac:dyDescent="0.35">
      <c r="A6" t="s">
        <v>22</v>
      </c>
      <c r="B6">
        <v>3.2410000000000001</v>
      </c>
      <c r="C6">
        <v>8.32</v>
      </c>
      <c r="D6">
        <v>1.2</v>
      </c>
      <c r="E6">
        <v>4.24</v>
      </c>
      <c r="F6" t="s">
        <v>24</v>
      </c>
      <c r="K6">
        <f>SUM(K2:K5)</f>
        <v>0.82917457247370807</v>
      </c>
    </row>
    <row r="7" spans="1:15" x14ac:dyDescent="0.35">
      <c r="A7" t="s">
        <v>23</v>
      </c>
      <c r="B7">
        <v>6.7103567928616306</v>
      </c>
      <c r="C7">
        <v>8.606544715646919</v>
      </c>
      <c r="D7">
        <v>-2.817848909059903</v>
      </c>
      <c r="E7">
        <v>8.5581929403594401</v>
      </c>
      <c r="F7">
        <v>13.408297067540721</v>
      </c>
    </row>
    <row r="8" spans="1:15" x14ac:dyDescent="0.35">
      <c r="C8">
        <f>J2*C7</f>
        <v>8.9771951603165778</v>
      </c>
      <c r="D8">
        <f>D7*J3</f>
        <v>0.8947320079704365</v>
      </c>
      <c r="E8">
        <f>E7*J4</f>
        <v>2.4586535479985683</v>
      </c>
      <c r="F8">
        <f>F7*J5</f>
        <v>-1.8995961330304643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aditya duhan</dc:creator>
  <cp:lastModifiedBy>aditya duhan</cp:lastModifiedBy>
  <dcterms:created xsi:type="dcterms:W3CDTF">2026-06-12T00:59:31Z</dcterms:created>
  <dcterms:modified xsi:type="dcterms:W3CDTF">2026-06-13T22:03:41Z</dcterms:modified>
</cp:coreProperties>
</file>